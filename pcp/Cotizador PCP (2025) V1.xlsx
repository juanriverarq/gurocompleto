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ramericana-my.sharepoint.com/personal/dpalacior_sura_com_co/Documents/Documents/01.ExpertoServiciosMercado/01.Servicios/20.Otros/02.Proyecto Lety/"/>
    </mc:Choice>
  </mc:AlternateContent>
  <xr:revisionPtr revIDLastSave="92" documentId="8_{AA10311D-B750-47A8-B8AF-D8CF797DA46D}" xr6:coauthVersionLast="47" xr6:coauthVersionMax="47" xr10:uidLastSave="{97D27461-2E41-479E-930D-E92C1F8C4F29}"/>
  <bookViews>
    <workbookView xWindow="-110" yWindow="-110" windowWidth="19420" windowHeight="10300" tabRatio="660" xr2:uid="{00000000-000D-0000-FFFF-FFFF00000000}"/>
  </bookViews>
  <sheets>
    <sheet name="PCP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  <c r="B64" i="2" l="1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3" i="2" l="1"/>
  <c r="B2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10" i="1" s="1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C11" i="1" l="1"/>
  <c r="C12" i="1" s="1"/>
  <c r="C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Esteban Vasquez Pineda</author>
    <author>Manuela Martinez Marin</author>
  </authors>
  <commentList>
    <comment ref="B5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Saldo Actual de la Deuda. Se recomiendo mirar el último estracto para deudas en curso</t>
        </r>
      </text>
    </comment>
    <comment ref="B10" authorId="1" shapeId="0" xr:uid="{00000000-0006-0000-0000-000002000000}">
      <text>
        <r>
          <rPr>
            <b/>
            <sz val="9"/>
            <color rgb="FF000000"/>
            <rFont val="Tahoma"/>
            <family val="2"/>
          </rPr>
          <t>Manuela Martinez Marin: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Este valor incluye ITP</t>
        </r>
      </text>
    </comment>
    <comment ref="B11" authorId="1" shapeId="0" xr:uid="{00000000-0006-0000-0000-000003000000}">
      <text>
        <r>
          <rPr>
            <b/>
            <sz val="9"/>
            <color rgb="FF000000"/>
            <rFont val="Tahoma"/>
            <family val="2"/>
          </rPr>
          <t>Manuela Martinez Marin: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Este valor incluye ITP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<sst xmlns="http://schemas.openxmlformats.org/spreadsheetml/2006/main" count="29" uniqueCount="27">
  <si>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DATOS BÁSICOS</t>
  </si>
  <si>
    <t>VIDA COMERCIAL</t>
  </si>
  <si>
    <t>ITP COMERCIAL</t>
  </si>
  <si>
    <t>TASAS</t>
  </si>
  <si>
    <t>EDAD</t>
  </si>
  <si>
    <t>NOMBRE</t>
  </si>
  <si>
    <t>Debes ingresar los datos en los campos que están resaltados en color gris</t>
  </si>
  <si>
    <t>MONTO DESEMBOLSADO:</t>
  </si>
  <si>
    <t>PRIMA MENSUAL SURA</t>
  </si>
  <si>
    <t>PRIMA ANUAL SURA</t>
  </si>
  <si>
    <t>FINANDINA</t>
  </si>
  <si>
    <t>BANCO SANTANDER</t>
  </si>
  <si>
    <t>SUFI</t>
  </si>
  <si>
    <t>BANCO OCCIDENTE</t>
  </si>
  <si>
    <t>BANCO BOGOTA</t>
  </si>
  <si>
    <t>BBVA</t>
  </si>
  <si>
    <t>PORSCHE MOVILIDAD</t>
  </si>
  <si>
    <t>GM FINANCIAL</t>
  </si>
  <si>
    <t>TOYOTA FINANCIAL</t>
  </si>
  <si>
    <t>DAVIVIENDA</t>
  </si>
  <si>
    <t>VALOR SEGURO DE VIDA CUOTA ACTUAL :</t>
  </si>
  <si>
    <t>COTIZACIÓN ENDOSO SURA - PLAN CRÉDITO PROTEGIDO</t>
  </si>
  <si>
    <t>ENTIDAD FINANCIERA</t>
  </si>
  <si>
    <t>DIFERENCIA MENSUAL ESPERADA: (AHORRO)</t>
  </si>
  <si>
    <t>DIFERENCIA ANUAL ESPERADA: (AHORRO)</t>
  </si>
  <si>
    <t>BANCOLOMBIA</t>
  </si>
  <si>
    <t>Daniel Ceballos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</si>
</sst>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1" formatCode="_-* #,##0_-;\-* #,##0_-;_-* &quot;-&quot;_-;_-@_-"/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&quot;$&quot;\ * #,##0_);_(&quot;$&quot;\ * \(#,##0\);_(&quot;$&quot;\ * &quot;-&quot;??_);_(@_)"/>
    <numFmt numFmtId="167" formatCode="_(* #,##0_);_(* \(#,##0\);_(* &quot;-&quot;??_);_(@_)"/>
    <numFmt numFmtId="168" formatCode="0.000"/>
    <numFmt numFmtId="169" formatCode="_-* #,##0.000_-;\-* #,##0.000_-;_-* &quot;-&quot;_-;_-@_-"/>
    <numFmt numFmtId="170" formatCode="_-&quot;$&quot;\ * #,##0_-;\-&quot;$&quot;\ * #,##0_-;_-&quot;$&quot;\ * &quot;-&quot;??_-;_-@_-"/>
    <numFmt numFmtId="171" formatCode="_(&quot;$&quot;\ * #,##0.000_);_(&quot;$&quot;\ * \(#,##0.000\);_(&quot;$&quot;\ 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7" fontId="0" fillId="0" borderId="0" xfId="1" applyNumberFormat="1" applyFont="1"/>
    <xf numFmtId="165" fontId="0" fillId="0" borderId="0" xfId="0" applyNumberFormat="1"/>
    <xf numFmtId="168" fontId="0" fillId="0" borderId="0" xfId="0" applyNumberFormat="1"/>
    <xf numFmtId="169" fontId="0" fillId="0" borderId="0" xfId="3" applyNumberFormat="1" applyFont="1"/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6" fillId="4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/>
    <xf numFmtId="166" fontId="6" fillId="4" borderId="1" xfId="2" applyNumberFormat="1" applyFont="1" applyFill="1" applyBorder="1" applyProtection="1">
      <protection locked="0"/>
    </xf>
    <xf numFmtId="166" fontId="6" fillId="0" borderId="1" xfId="2" applyNumberFormat="1" applyFont="1" applyBorder="1"/>
    <xf numFmtId="170" fontId="6" fillId="0" borderId="0" xfId="0" applyNumberFormat="1" applyFont="1"/>
    <xf numFmtId="0" fontId="5" fillId="3" borderId="1" xfId="0" applyFont="1" applyFill="1" applyBorder="1"/>
    <xf numFmtId="166" fontId="5" fillId="3" borderId="1" xfId="2" applyNumberFormat="1" applyFont="1" applyFill="1" applyBorder="1"/>
    <xf numFmtId="166" fontId="8" fillId="0" borderId="1" xfId="2" applyNumberFormat="1" applyFont="1" applyBorder="1"/>
    <xf numFmtId="0" fontId="9" fillId="0" borderId="0" xfId="4"/>
    <xf numFmtId="49" fontId="6" fillId="0" borderId="0" xfId="0" applyNumberFormat="1" applyFont="1"/>
    <xf numFmtId="42" fontId="6" fillId="0" borderId="0" xfId="5" applyFont="1"/>
    <xf numFmtId="49" fontId="6" fillId="0" borderId="0" xfId="5" applyNumberFormat="1" applyFont="1" applyFill="1" applyBorder="1" applyAlignment="1">
      <alignment horizontal="left"/>
    </xf>
    <xf numFmtId="42" fontId="6" fillId="0" borderId="0" xfId="5" applyFont="1" applyFill="1" applyBorder="1" applyAlignment="1">
      <alignment horizontal="left"/>
    </xf>
    <xf numFmtId="42" fontId="6" fillId="0" borderId="0" xfId="5" applyFont="1" applyFill="1" applyBorder="1"/>
    <xf numFmtId="0" fontId="8" fillId="0" borderId="0" xfId="0" applyFont="1"/>
    <xf numFmtId="42" fontId="6" fillId="0" borderId="0" xfId="5" applyFont="1" applyAlignment="1">
      <alignment horizontal="left"/>
    </xf>
    <xf numFmtId="166" fontId="6" fillId="0" borderId="0" xfId="0" applyNumberFormat="1" applyFont="1"/>
    <xf numFmtId="42" fontId="9" fillId="0" borderId="0" xfId="4" applyNumberFormat="1"/>
    <xf numFmtId="49" fontId="6" fillId="0" borderId="0" xfId="5" applyNumberFormat="1" applyFont="1" applyAlignment="1">
      <alignment horizontal="left"/>
    </xf>
    <xf numFmtId="166" fontId="9" fillId="0" borderId="0" xfId="4" applyNumberFormat="1"/>
    <xf numFmtId="0" fontId="7" fillId="5" borderId="0" xfId="0" applyFont="1" applyFill="1" applyAlignment="1">
      <alignment horizontal="center" wrapText="1"/>
    </xf>
    <xf numFmtId="166" fontId="8" fillId="4" borderId="1" xfId="2" applyNumberFormat="1" applyFont="1" applyFill="1" applyBorder="1" applyAlignment="1" applyProtection="1">
      <alignment horizontal="center"/>
      <protection locked="0"/>
    </xf>
    <xf numFmtId="166" fontId="8" fillId="6" borderId="1" xfId="2" applyNumberFormat="1" applyFont="1" applyFill="1" applyBorder="1" applyProtection="1">
      <protection locked="0"/>
    </xf>
    <xf numFmtId="171" fontId="10" fillId="0" borderId="0" xfId="2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</cellXfs>
  <cellStyles count="6">
    <cellStyle name="Hipervínculo" xfId="4" builtinId="8"/>
    <cellStyle name="Millares" xfId="1" builtinId="3"/>
    <cellStyle name="Millares [0]" xfId="3" builtinId="6"/>
    <cellStyle name="Moneda" xfId="2" builtinId="4"/>
    <cellStyle name="Moneda [0]" xfId="5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38100</xdr:rowOff>
    </xdr:from>
    <xdr:to>
      <xdr:col>3</xdr:col>
      <xdr:colOff>295275</xdr:colOff>
      <xdr:row>5</xdr:row>
      <xdr:rowOff>161925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295775" y="609600"/>
          <a:ext cx="133350" cy="504825"/>
        </a:xfrm>
        <a:prstGeom prst="rightBrace">
          <a:avLst/>
        </a:prstGeom>
        <a:ln w="5715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G32"/>
  <sheetViews>
    <sheetView showGridLines="0" tabSelected="1" zoomScaleNormal="100" workbookViewId="0">
      <selection activeCell="B3" sqref="B3"/>
    </sheetView>
  </sheetViews>
  <sheetFormatPr baseColWidth="10" defaultColWidth="10.81640625" defaultRowHeight="13" x14ac:dyDescent="0.3"/>
  <cols>
    <col min="1" max="1" width="4.6328125" style="6" customWidth="1"/>
    <col min="2" max="2" width="35.453125" style="6" bestFit="1" customWidth="1"/>
    <col min="3" max="3" width="27" style="6" bestFit="1" customWidth="1"/>
    <col min="4" max="4" width="13.36328125" style="6" customWidth="1"/>
    <col min="5" max="5" width="13.453125" style="6" bestFit="1" customWidth="1"/>
    <col min="6" max="6" width="14.453125" style="6" bestFit="1" customWidth="1"/>
    <col min="7" max="7" width="12" style="6" bestFit="1" customWidth="1"/>
    <col min="8" max="16384" width="10.81640625" style="6"/>
  </cols>
  <sheetData>
    <row r="2" spans="2:7" x14ac:dyDescent="0.3">
      <c r="B2" s="32" t="s">
        <v>0</v>
      </c>
      <c r="C2" s="32"/>
    </row>
    <row r="3" spans="2:7" ht="13.5" thickBot="1" x14ac:dyDescent="0.35">
      <c r="B3" s="7" t="s">
        <v>5</v>
      </c>
      <c r="C3" s="8" t="s">
        <v>26</v>
      </c>
    </row>
    <row r="4" spans="2:7" x14ac:dyDescent="0.3">
      <c r="B4" s="9" t="s">
        <v>4</v>
      </c>
      <c r="C4" s="8">
        <v>40</v>
      </c>
      <c r="E4" s="33" t="s">
        <v>6</v>
      </c>
      <c r="F4" s="34"/>
    </row>
    <row r="5" spans="2:7" x14ac:dyDescent="0.3">
      <c r="B5" s="9" t="s">
        <v>7</v>
      </c>
      <c r="C5" s="10">
        <v>100000000</v>
      </c>
      <c r="E5" s="35"/>
      <c r="F5" s="36"/>
    </row>
    <row r="6" spans="2:7" ht="13.5" thickBot="1" x14ac:dyDescent="0.35">
      <c r="B6" s="9" t="s">
        <v>22</v>
      </c>
      <c r="C6" s="29" t="s">
        <v>18</v>
      </c>
      <c r="E6" s="37"/>
      <c r="F6" s="38"/>
    </row>
    <row r="7" spans="2:7" x14ac:dyDescent="0.3">
      <c r="B7" s="9" t="s">
        <v>20</v>
      </c>
      <c r="C7" s="30" cm="1">
        <f t="array" ref="C7">IFERROR(C5*VLOOKUP(C6,$B$15:$C$25,2,0)/1000000,_xleta.N/A)</f>
        <v>165000</v>
      </c>
      <c r="E7" s="28"/>
      <c r="F7" s="28"/>
    </row>
    <row r="9" spans="2:7" x14ac:dyDescent="0.3">
      <c r="B9" s="32" t="s">
        <v>21</v>
      </c>
      <c r="C9" s="32"/>
      <c r="D9" s="24"/>
      <c r="E9" s="18"/>
      <c r="G9" s="18"/>
    </row>
    <row r="10" spans="2:7" x14ac:dyDescent="0.3">
      <c r="B10" s="9" t="s">
        <v>9</v>
      </c>
      <c r="C10" s="11">
        <f>+_xlfn.IFNA(VLOOKUP(C4,Hoja2!$A$1:$B$83,2,0)*PCP!C5/1000,"")</f>
        <v>322600</v>
      </c>
      <c r="D10" s="24"/>
      <c r="F10" s="12"/>
    </row>
    <row r="11" spans="2:7" x14ac:dyDescent="0.3">
      <c r="B11" s="9" t="s">
        <v>8</v>
      </c>
      <c r="C11" s="15">
        <f>+IF(C10="","",C10*0.091)</f>
        <v>29356.6</v>
      </c>
      <c r="D11" s="31"/>
      <c r="F11" s="12"/>
    </row>
    <row r="12" spans="2:7" x14ac:dyDescent="0.3">
      <c r="B12" s="13" t="s">
        <v>23</v>
      </c>
      <c r="C12" s="14">
        <f>+IF(C10="","",C7-C11)</f>
        <v>135643.4</v>
      </c>
      <c r="D12" s="24"/>
      <c r="E12" s="26"/>
      <c r="F12" s="18"/>
    </row>
    <row r="13" spans="2:7" ht="14.5" x14ac:dyDescent="0.35">
      <c r="B13" s="13" t="s">
        <v>24</v>
      </c>
      <c r="C13" s="14">
        <f>+IF(C10="","",C12*12)</f>
        <v>1627720.7999999998</v>
      </c>
      <c r="E13" s="27"/>
    </row>
    <row r="14" spans="2:7" x14ac:dyDescent="0.3">
      <c r="E14" s="23"/>
    </row>
    <row r="15" spans="2:7" ht="14.5" x14ac:dyDescent="0.35">
      <c r="B15" s="6" t="s">
        <v>12</v>
      </c>
      <c r="C15" s="23">
        <v>1290</v>
      </c>
      <c r="E15" s="16"/>
    </row>
    <row r="16" spans="2:7" x14ac:dyDescent="0.3">
      <c r="B16" s="6" t="s">
        <v>18</v>
      </c>
      <c r="C16" s="20">
        <v>1650</v>
      </c>
      <c r="D16" s="22"/>
      <c r="F16" s="22"/>
    </row>
    <row r="17" spans="2:7" x14ac:dyDescent="0.3">
      <c r="B17" s="6" t="s">
        <v>10</v>
      </c>
      <c r="C17" s="20">
        <v>0</v>
      </c>
      <c r="D17" s="19"/>
      <c r="E17" s="19"/>
      <c r="F17" s="20"/>
      <c r="G17" s="18"/>
    </row>
    <row r="18" spans="2:7" x14ac:dyDescent="0.3">
      <c r="B18" s="6" t="s">
        <v>13</v>
      </c>
      <c r="C18" s="20">
        <v>1000</v>
      </c>
      <c r="D18" s="19"/>
      <c r="E18" s="19"/>
      <c r="F18" s="20"/>
      <c r="G18" s="18"/>
    </row>
    <row r="19" spans="2:7" x14ac:dyDescent="0.3">
      <c r="B19" s="6" t="s">
        <v>14</v>
      </c>
      <c r="C19" s="20">
        <v>1000</v>
      </c>
      <c r="D19" s="19"/>
      <c r="E19" s="19"/>
      <c r="F19" s="20"/>
      <c r="G19" s="18"/>
    </row>
    <row r="20" spans="2:7" x14ac:dyDescent="0.3">
      <c r="B20" s="6" t="s">
        <v>15</v>
      </c>
      <c r="C20" s="20">
        <v>0</v>
      </c>
      <c r="D20" s="19"/>
      <c r="E20" s="20"/>
      <c r="F20" s="20"/>
      <c r="G20" s="18"/>
    </row>
    <row r="21" spans="2:7" x14ac:dyDescent="0.3">
      <c r="B21" s="6" t="s">
        <v>11</v>
      </c>
      <c r="C21" s="20">
        <v>1200</v>
      </c>
      <c r="D21" s="19"/>
      <c r="E21" s="20"/>
      <c r="F21" s="20"/>
      <c r="G21" s="18"/>
    </row>
    <row r="22" spans="2:7" x14ac:dyDescent="0.3">
      <c r="B22" s="6" t="s">
        <v>16</v>
      </c>
      <c r="C22" s="20">
        <v>0</v>
      </c>
      <c r="D22" s="17"/>
      <c r="E22" s="21"/>
    </row>
    <row r="23" spans="2:7" ht="14.5" x14ac:dyDescent="0.35">
      <c r="B23" s="6" t="s">
        <v>17</v>
      </c>
      <c r="C23" s="23">
        <v>0</v>
      </c>
      <c r="D23" s="17"/>
      <c r="E23" s="25"/>
    </row>
    <row r="24" spans="2:7" x14ac:dyDescent="0.3">
      <c r="B24" s="6" t="s">
        <v>25</v>
      </c>
      <c r="C24" s="23">
        <v>1000</v>
      </c>
      <c r="D24" s="17"/>
    </row>
    <row r="25" spans="2:7" x14ac:dyDescent="0.3">
      <c r="B25" s="6" t="s">
        <v>19</v>
      </c>
      <c r="C25" s="23">
        <v>0</v>
      </c>
      <c r="D25" s="17"/>
    </row>
    <row r="26" spans="2:7" x14ac:dyDescent="0.3">
      <c r="D26" s="17"/>
    </row>
    <row r="27" spans="2:7" x14ac:dyDescent="0.3">
      <c r="D27" s="17"/>
    </row>
    <row r="28" spans="2:7" x14ac:dyDescent="0.3">
      <c r="D28" s="17"/>
    </row>
    <row r="29" spans="2:7" x14ac:dyDescent="0.3">
      <c r="D29" s="17"/>
    </row>
    <row r="30" spans="2:7" x14ac:dyDescent="0.3">
      <c r="D30" s="17"/>
    </row>
    <row r="31" spans="2:7" x14ac:dyDescent="0.3">
      <c r="D31" s="17"/>
    </row>
    <row r="32" spans="2:7" x14ac:dyDescent="0.3">
      <c r="D32" s="17"/>
    </row>
  </sheetData>
  <mergeCells count="3">
    <mergeCell ref="B2:C2"/>
    <mergeCell ref="B9:C9"/>
    <mergeCell ref="E4:F6"/>
  </mergeCells>
  <dataValidations count="3">
    <dataValidation type="custom" errorStyle="warning" allowBlank="1" showInputMessage="1" showErrorMessage="1" errorTitle="Advertencia" error="Para este caso no hay un ahorro en la prima. Resalta otros beneficios del producto y de la asesoria consultiva que le entregarás al cliente." sqref="C7" xr:uid="{00000000-0002-0000-0000-000000000000}">
      <formula1>C7-C11&gt;0</formula1>
    </dataValidation>
    <dataValidation type="list" allowBlank="1" showInputMessage="1" showErrorMessage="1" sqref="C6" xr:uid="{071FF4D0-9BF1-4C41-BB82-6D5D543C52D2}">
      <formula1>$B$15:$B$25</formula1>
    </dataValidation>
    <dataValidation type="custom" errorStyle="warning" allowBlank="1" showInputMessage="1" showErrorMessage="1" errorTitle="Advertencia" error="Para este caso no hay un ahorro en la prima. Resalta otros beneficios del producto y de la asesoria consultiva que le entregarás al cliente." sqref="C5" xr:uid="{00000000-0002-0000-0000-000001000000}">
      <formula1>C7&lt;C11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Hoja2!$F$1:$F$82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H83"/>
  <sheetViews>
    <sheetView workbookViewId="0">
      <selection activeCell="A5" sqref="A5:D18"/>
    </sheetView>
  </sheetViews>
  <sheetFormatPr baseColWidth="10" defaultRowHeight="14.5" x14ac:dyDescent="0.35"/>
  <cols>
    <col min="3" max="3" width="16.453125" bestFit="1" customWidth="1"/>
    <col min="4" max="4" width="14.453125" bestFit="1" customWidth="1"/>
    <col min="5" max="5" width="12.453125" bestFit="1" customWidth="1"/>
    <col min="7" max="7" width="11.453125" bestFit="1" customWidth="1"/>
  </cols>
  <sheetData>
    <row r="1" spans="1:8" x14ac:dyDescent="0.35">
      <c r="A1" s="1" t="s">
        <v>4</v>
      </c>
      <c r="B1" s="1" t="s">
        <v>3</v>
      </c>
      <c r="C1" s="1" t="s">
        <v>1</v>
      </c>
      <c r="D1" s="1" t="s">
        <v>2</v>
      </c>
      <c r="F1">
        <v>18</v>
      </c>
    </row>
    <row r="2" spans="1:8" x14ac:dyDescent="0.35">
      <c r="A2">
        <v>18</v>
      </c>
      <c r="B2" s="4">
        <f>+C2+D2</f>
        <v>0.76400000000000001</v>
      </c>
      <c r="C2" s="5">
        <v>0.41099999999999998</v>
      </c>
      <c r="D2" s="4">
        <v>0.35299999999999998</v>
      </c>
      <c r="F2">
        <v>19</v>
      </c>
      <c r="H2" s="4"/>
    </row>
    <row r="3" spans="1:8" x14ac:dyDescent="0.35">
      <c r="A3">
        <v>19</v>
      </c>
      <c r="B3" s="4">
        <f>+C3+D3</f>
        <v>0.76400000000000001</v>
      </c>
      <c r="C3" s="5">
        <v>0.41099999999999998</v>
      </c>
      <c r="D3" s="4">
        <v>0.35299999999999998</v>
      </c>
      <c r="F3">
        <v>20</v>
      </c>
      <c r="H3" s="4"/>
    </row>
    <row r="4" spans="1:8" x14ac:dyDescent="0.35">
      <c r="A4">
        <v>20</v>
      </c>
      <c r="B4" s="4">
        <f>+C4+D4</f>
        <v>0.76400000000000001</v>
      </c>
      <c r="C4" s="5">
        <v>0.41099999999999998</v>
      </c>
      <c r="D4" s="4">
        <v>0.35299999999999998</v>
      </c>
      <c r="F4">
        <v>21</v>
      </c>
      <c r="H4" s="4"/>
    </row>
    <row r="5" spans="1:8" x14ac:dyDescent="0.35">
      <c r="A5">
        <v>21</v>
      </c>
      <c r="B5" s="4">
        <f t="shared" ref="B5:B68" si="0">+C5+D5</f>
        <v>0.82099999999999995</v>
      </c>
      <c r="C5" s="5">
        <v>0.46800000000000003</v>
      </c>
      <c r="D5" s="4">
        <v>0.35299999999999998</v>
      </c>
      <c r="F5">
        <v>22</v>
      </c>
      <c r="H5" s="4"/>
    </row>
    <row r="6" spans="1:8" x14ac:dyDescent="0.35">
      <c r="A6">
        <v>22</v>
      </c>
      <c r="B6" s="4">
        <f t="shared" si="0"/>
        <v>0.88300000000000001</v>
      </c>
      <c r="C6" s="5">
        <v>0.53</v>
      </c>
      <c r="D6" s="4">
        <v>0.35299999999999998</v>
      </c>
      <c r="F6">
        <v>23</v>
      </c>
      <c r="H6" s="4"/>
    </row>
    <row r="7" spans="1:8" x14ac:dyDescent="0.35">
      <c r="A7">
        <v>23</v>
      </c>
      <c r="B7" s="4">
        <f t="shared" si="0"/>
        <v>0.94799999999999995</v>
      </c>
      <c r="C7" s="5">
        <v>0.59499999999999997</v>
      </c>
      <c r="D7" s="4">
        <v>0.35299999999999998</v>
      </c>
      <c r="F7">
        <v>24</v>
      </c>
      <c r="H7" s="4"/>
    </row>
    <row r="8" spans="1:8" x14ac:dyDescent="0.35">
      <c r="A8">
        <v>24</v>
      </c>
      <c r="B8" s="4">
        <f t="shared" si="0"/>
        <v>1.0190000000000001</v>
      </c>
      <c r="C8" s="5">
        <v>0.66600000000000004</v>
      </c>
      <c r="D8" s="4">
        <v>0.35299999999999998</v>
      </c>
      <c r="F8">
        <v>25</v>
      </c>
      <c r="H8" s="4"/>
    </row>
    <row r="9" spans="1:8" x14ac:dyDescent="0.35">
      <c r="A9">
        <v>25</v>
      </c>
      <c r="B9" s="4">
        <f t="shared" si="0"/>
        <v>1.095</v>
      </c>
      <c r="C9" s="5">
        <v>0.74199999999999999</v>
      </c>
      <c r="D9" s="4">
        <v>0.35299999999999998</v>
      </c>
      <c r="F9">
        <v>26</v>
      </c>
      <c r="H9" s="4"/>
    </row>
    <row r="10" spans="1:8" x14ac:dyDescent="0.35">
      <c r="A10">
        <v>26</v>
      </c>
      <c r="B10" s="4">
        <f t="shared" si="0"/>
        <v>1.177</v>
      </c>
      <c r="C10" s="5">
        <v>0.82399999999999995</v>
      </c>
      <c r="D10" s="4">
        <v>0.35299999999999998</v>
      </c>
      <c r="F10">
        <v>27</v>
      </c>
      <c r="H10" s="4"/>
    </row>
    <row r="11" spans="1:8" x14ac:dyDescent="0.35">
      <c r="A11">
        <v>27</v>
      </c>
      <c r="B11" s="4">
        <f t="shared" si="0"/>
        <v>1.2650000000000001</v>
      </c>
      <c r="C11" s="5">
        <v>0.91200000000000003</v>
      </c>
      <c r="D11" s="4">
        <v>0.35299999999999998</v>
      </c>
      <c r="F11">
        <v>28</v>
      </c>
      <c r="H11" s="4"/>
    </row>
    <row r="12" spans="1:8" x14ac:dyDescent="0.35">
      <c r="A12">
        <v>28</v>
      </c>
      <c r="B12" s="4">
        <f t="shared" si="0"/>
        <v>1.3599999999999999</v>
      </c>
      <c r="C12" s="5">
        <v>1.0069999999999999</v>
      </c>
      <c r="D12" s="4">
        <v>0.35299999999999998</v>
      </c>
      <c r="F12">
        <v>29</v>
      </c>
      <c r="H12" s="4"/>
    </row>
    <row r="13" spans="1:8" x14ac:dyDescent="0.35">
      <c r="A13">
        <v>29</v>
      </c>
      <c r="B13" s="4">
        <f t="shared" si="0"/>
        <v>1.4610000000000001</v>
      </c>
      <c r="C13" s="5">
        <v>1.1080000000000001</v>
      </c>
      <c r="D13" s="4">
        <v>0.35299999999999998</v>
      </c>
      <c r="F13">
        <v>30</v>
      </c>
      <c r="G13" s="3"/>
      <c r="H13" s="4"/>
    </row>
    <row r="14" spans="1:8" x14ac:dyDescent="0.35">
      <c r="A14">
        <v>30</v>
      </c>
      <c r="B14" s="4">
        <f t="shared" si="0"/>
        <v>1.57</v>
      </c>
      <c r="C14" s="5">
        <v>1.2170000000000001</v>
      </c>
      <c r="D14" s="4">
        <v>0.35299999999999998</v>
      </c>
      <c r="E14" s="2"/>
      <c r="F14">
        <v>31</v>
      </c>
      <c r="H14" s="4"/>
    </row>
    <row r="15" spans="1:8" x14ac:dyDescent="0.35">
      <c r="A15">
        <v>31</v>
      </c>
      <c r="B15" s="4">
        <f t="shared" si="0"/>
        <v>1.6870000000000001</v>
      </c>
      <c r="C15" s="5">
        <v>1.3340000000000001</v>
      </c>
      <c r="D15" s="4">
        <v>0.35299999999999998</v>
      </c>
      <c r="F15">
        <v>32</v>
      </c>
      <c r="H15" s="4"/>
    </row>
    <row r="16" spans="1:8" x14ac:dyDescent="0.35">
      <c r="A16">
        <v>32</v>
      </c>
      <c r="B16" s="4">
        <f t="shared" si="0"/>
        <v>1.8129999999999999</v>
      </c>
      <c r="C16" s="5">
        <v>1.46</v>
      </c>
      <c r="D16" s="4">
        <v>0.35299999999999998</v>
      </c>
      <c r="E16" s="2"/>
      <c r="F16">
        <v>33</v>
      </c>
      <c r="H16" s="4"/>
    </row>
    <row r="17" spans="1:8" x14ac:dyDescent="0.35">
      <c r="A17">
        <v>33</v>
      </c>
      <c r="B17" s="4">
        <f t="shared" si="0"/>
        <v>1.9490000000000001</v>
      </c>
      <c r="C17" s="5">
        <v>1.5960000000000001</v>
      </c>
      <c r="D17" s="4">
        <v>0.35299999999999998</v>
      </c>
      <c r="F17">
        <v>34</v>
      </c>
      <c r="H17" s="4"/>
    </row>
    <row r="18" spans="1:8" x14ac:dyDescent="0.35">
      <c r="A18">
        <v>34</v>
      </c>
      <c r="B18" s="4">
        <f t="shared" si="0"/>
        <v>2.0940000000000003</v>
      </c>
      <c r="C18" s="5">
        <v>1.7410000000000001</v>
      </c>
      <c r="D18" s="4">
        <v>0.35299999999999998</v>
      </c>
      <c r="F18">
        <v>35</v>
      </c>
      <c r="H18" s="4"/>
    </row>
    <row r="19" spans="1:8" x14ac:dyDescent="0.35">
      <c r="A19">
        <v>35</v>
      </c>
      <c r="B19" s="4">
        <f t="shared" si="0"/>
        <v>2.2509999999999999</v>
      </c>
      <c r="C19" s="5">
        <v>1.8979999999999999</v>
      </c>
      <c r="D19" s="4">
        <v>0.35299999999999998</v>
      </c>
      <c r="F19">
        <v>36</v>
      </c>
      <c r="H19" s="4"/>
    </row>
    <row r="20" spans="1:8" x14ac:dyDescent="0.35">
      <c r="A20">
        <v>36</v>
      </c>
      <c r="B20" s="4">
        <f t="shared" si="0"/>
        <v>2.4189999999999996</v>
      </c>
      <c r="C20" s="5">
        <v>2.0659999999999998</v>
      </c>
      <c r="D20" s="4">
        <v>0.35299999999999998</v>
      </c>
      <c r="F20">
        <v>37</v>
      </c>
      <c r="H20" s="4"/>
    </row>
    <row r="21" spans="1:8" x14ac:dyDescent="0.35">
      <c r="A21">
        <v>37</v>
      </c>
      <c r="B21" s="4">
        <f t="shared" si="0"/>
        <v>2.5990000000000002</v>
      </c>
      <c r="C21" s="5">
        <v>2.246</v>
      </c>
      <c r="D21" s="4">
        <v>0.35299999999999998</v>
      </c>
      <c r="F21">
        <v>38</v>
      </c>
      <c r="H21" s="4"/>
    </row>
    <row r="22" spans="1:8" x14ac:dyDescent="0.35">
      <c r="A22">
        <v>38</v>
      </c>
      <c r="B22" s="4">
        <f t="shared" si="0"/>
        <v>2.7930000000000001</v>
      </c>
      <c r="C22" s="5">
        <v>2.44</v>
      </c>
      <c r="D22" s="4">
        <v>0.35299999999999998</v>
      </c>
      <c r="F22">
        <v>39</v>
      </c>
      <c r="H22" s="4"/>
    </row>
    <row r="23" spans="1:8" x14ac:dyDescent="0.35">
      <c r="A23">
        <v>39</v>
      </c>
      <c r="B23" s="4">
        <f t="shared" si="0"/>
        <v>3.0019999999999998</v>
      </c>
      <c r="C23" s="5">
        <v>2.649</v>
      </c>
      <c r="D23" s="4">
        <v>0.35299999999999998</v>
      </c>
      <c r="F23">
        <v>40</v>
      </c>
      <c r="H23" s="4"/>
    </row>
    <row r="24" spans="1:8" x14ac:dyDescent="0.35">
      <c r="A24">
        <v>40</v>
      </c>
      <c r="B24" s="4">
        <f t="shared" si="0"/>
        <v>3.226</v>
      </c>
      <c r="C24" s="5">
        <v>2.8730000000000002</v>
      </c>
      <c r="D24" s="4">
        <v>0.35299999999999998</v>
      </c>
      <c r="F24">
        <v>41</v>
      </c>
      <c r="H24" s="4"/>
    </row>
    <row r="25" spans="1:8" x14ac:dyDescent="0.35">
      <c r="A25">
        <v>41</v>
      </c>
      <c r="B25" s="4">
        <f t="shared" si="0"/>
        <v>3.4669999999999996</v>
      </c>
      <c r="C25" s="5">
        <v>3.1139999999999999</v>
      </c>
      <c r="D25" s="4">
        <v>0.35299999999999998</v>
      </c>
      <c r="F25">
        <v>42</v>
      </c>
      <c r="H25" s="4"/>
    </row>
    <row r="26" spans="1:8" x14ac:dyDescent="0.35">
      <c r="A26">
        <v>42</v>
      </c>
      <c r="B26" s="4">
        <f t="shared" si="0"/>
        <v>3.726</v>
      </c>
      <c r="C26" s="5">
        <v>3.3730000000000002</v>
      </c>
      <c r="D26" s="4">
        <v>0.35299999999999998</v>
      </c>
      <c r="F26">
        <v>43</v>
      </c>
      <c r="H26" s="4"/>
    </row>
    <row r="27" spans="1:8" x14ac:dyDescent="0.35">
      <c r="A27">
        <v>43</v>
      </c>
      <c r="B27" s="4">
        <f t="shared" si="0"/>
        <v>3.9790000000000001</v>
      </c>
      <c r="C27" s="5">
        <v>3.6259999999999999</v>
      </c>
      <c r="D27" s="4">
        <v>0.35299999999999998</v>
      </c>
      <c r="F27">
        <v>44</v>
      </c>
      <c r="H27" s="4"/>
    </row>
    <row r="28" spans="1:8" x14ac:dyDescent="0.35">
      <c r="A28">
        <v>44</v>
      </c>
      <c r="B28" s="4">
        <f t="shared" si="0"/>
        <v>4.1440000000000001</v>
      </c>
      <c r="C28" s="5">
        <v>3.7909999999999999</v>
      </c>
      <c r="D28" s="4">
        <v>0.35299999999999998</v>
      </c>
      <c r="F28">
        <v>45</v>
      </c>
      <c r="H28" s="4"/>
    </row>
    <row r="29" spans="1:8" x14ac:dyDescent="0.35">
      <c r="A29">
        <v>45</v>
      </c>
      <c r="B29" s="4">
        <f t="shared" si="0"/>
        <v>4.3239999999999998</v>
      </c>
      <c r="C29" s="5">
        <v>3.9710000000000001</v>
      </c>
      <c r="D29" s="4">
        <v>0.35299999999999998</v>
      </c>
      <c r="F29">
        <v>46</v>
      </c>
      <c r="H29" s="4"/>
    </row>
    <row r="30" spans="1:8" x14ac:dyDescent="0.35">
      <c r="A30">
        <v>46</v>
      </c>
      <c r="B30" s="4">
        <f t="shared" si="0"/>
        <v>4.5209999999999999</v>
      </c>
      <c r="C30" s="5">
        <v>4.1680000000000001</v>
      </c>
      <c r="D30" s="4">
        <v>0.35299999999999998</v>
      </c>
      <c r="F30">
        <v>47</v>
      </c>
      <c r="H30" s="4"/>
    </row>
    <row r="31" spans="1:8" x14ac:dyDescent="0.35">
      <c r="A31">
        <v>47</v>
      </c>
      <c r="B31" s="4">
        <f t="shared" si="0"/>
        <v>4.7349999999999994</v>
      </c>
      <c r="C31" s="5">
        <v>4.3819999999999997</v>
      </c>
      <c r="D31" s="4">
        <v>0.35299999999999998</v>
      </c>
      <c r="F31">
        <v>48</v>
      </c>
      <c r="H31" s="4"/>
    </row>
    <row r="32" spans="1:8" x14ac:dyDescent="0.35">
      <c r="A32">
        <v>48</v>
      </c>
      <c r="B32" s="4">
        <f t="shared" si="0"/>
        <v>4.97</v>
      </c>
      <c r="C32" s="5">
        <v>4.617</v>
      </c>
      <c r="D32" s="4">
        <v>0.35299999999999998</v>
      </c>
      <c r="F32">
        <v>49</v>
      </c>
      <c r="H32" s="4"/>
    </row>
    <row r="33" spans="1:8" x14ac:dyDescent="0.35">
      <c r="A33">
        <v>49</v>
      </c>
      <c r="B33" s="4">
        <f t="shared" si="0"/>
        <v>5.2290000000000001</v>
      </c>
      <c r="C33" s="5">
        <v>4.8760000000000003</v>
      </c>
      <c r="D33" s="4">
        <v>0.35299999999999998</v>
      </c>
      <c r="F33">
        <v>50</v>
      </c>
      <c r="H33" s="4"/>
    </row>
    <row r="34" spans="1:8" x14ac:dyDescent="0.35">
      <c r="A34">
        <v>50</v>
      </c>
      <c r="B34" s="4">
        <f t="shared" si="0"/>
        <v>5.5069999999999997</v>
      </c>
      <c r="C34" s="5">
        <v>5.1539999999999999</v>
      </c>
      <c r="D34" s="4">
        <v>0.35299999999999998</v>
      </c>
      <c r="F34">
        <v>51</v>
      </c>
      <c r="H34" s="4"/>
    </row>
    <row r="35" spans="1:8" x14ac:dyDescent="0.35">
      <c r="A35">
        <v>51</v>
      </c>
      <c r="B35" s="4">
        <f t="shared" si="0"/>
        <v>5.7169999999999996</v>
      </c>
      <c r="C35" s="5">
        <v>5.3639999999999999</v>
      </c>
      <c r="D35" s="4">
        <v>0.35299999999999998</v>
      </c>
      <c r="F35">
        <v>52</v>
      </c>
      <c r="H35" s="4"/>
    </row>
    <row r="36" spans="1:8" x14ac:dyDescent="0.35">
      <c r="A36">
        <v>52</v>
      </c>
      <c r="B36" s="4">
        <f t="shared" si="0"/>
        <v>5.9969999999999999</v>
      </c>
      <c r="C36" s="5">
        <v>5.6440000000000001</v>
      </c>
      <c r="D36" s="4">
        <v>0.35299999999999998</v>
      </c>
      <c r="F36">
        <v>53</v>
      </c>
      <c r="H36" s="4"/>
    </row>
    <row r="37" spans="1:8" x14ac:dyDescent="0.35">
      <c r="A37">
        <v>53</v>
      </c>
      <c r="B37" s="4">
        <f t="shared" si="0"/>
        <v>6.3569999999999993</v>
      </c>
      <c r="C37" s="5">
        <v>6.0039999999999996</v>
      </c>
      <c r="D37" s="4">
        <v>0.35299999999999998</v>
      </c>
      <c r="F37">
        <v>54</v>
      </c>
      <c r="H37" s="4"/>
    </row>
    <row r="38" spans="1:8" x14ac:dyDescent="0.35">
      <c r="A38">
        <v>54</v>
      </c>
      <c r="B38" s="4">
        <f t="shared" si="0"/>
        <v>6.827</v>
      </c>
      <c r="C38" s="5">
        <v>6.4740000000000002</v>
      </c>
      <c r="D38" s="4">
        <v>0.35299999999999998</v>
      </c>
      <c r="F38">
        <v>55</v>
      </c>
      <c r="H38" s="4"/>
    </row>
    <row r="39" spans="1:8" x14ac:dyDescent="0.35">
      <c r="A39">
        <v>55</v>
      </c>
      <c r="B39" s="4">
        <f t="shared" si="0"/>
        <v>7.3769999999999998</v>
      </c>
      <c r="C39" s="5">
        <v>7.024</v>
      </c>
      <c r="D39" s="4">
        <v>0.35299999999999998</v>
      </c>
      <c r="F39">
        <v>56</v>
      </c>
      <c r="H39" s="4"/>
    </row>
    <row r="40" spans="1:8" x14ac:dyDescent="0.35">
      <c r="A40">
        <v>56</v>
      </c>
      <c r="B40" s="4">
        <f t="shared" si="0"/>
        <v>7.8419999999999996</v>
      </c>
      <c r="C40" s="5">
        <v>7.4889999999999999</v>
      </c>
      <c r="D40" s="4">
        <v>0.35299999999999998</v>
      </c>
      <c r="F40">
        <v>57</v>
      </c>
      <c r="H40" s="4"/>
    </row>
    <row r="41" spans="1:8" x14ac:dyDescent="0.35">
      <c r="A41">
        <v>57</v>
      </c>
      <c r="B41" s="4">
        <f t="shared" si="0"/>
        <v>8.3390000000000004</v>
      </c>
      <c r="C41" s="5">
        <v>7.9859999999999998</v>
      </c>
      <c r="D41" s="4">
        <v>0.35299999999999998</v>
      </c>
      <c r="F41">
        <v>58</v>
      </c>
      <c r="H41" s="4"/>
    </row>
    <row r="42" spans="1:8" x14ac:dyDescent="0.35">
      <c r="A42">
        <v>58</v>
      </c>
      <c r="B42" s="4">
        <f t="shared" si="0"/>
        <v>8.8680000000000003</v>
      </c>
      <c r="C42" s="5">
        <v>8.5150000000000006</v>
      </c>
      <c r="D42" s="4">
        <v>0.35299999999999998</v>
      </c>
      <c r="F42">
        <v>59</v>
      </c>
      <c r="H42" s="4"/>
    </row>
    <row r="43" spans="1:8" x14ac:dyDescent="0.35">
      <c r="A43">
        <v>59</v>
      </c>
      <c r="B43" s="4">
        <f t="shared" si="0"/>
        <v>9.4320000000000004</v>
      </c>
      <c r="C43" s="5">
        <v>9.0790000000000006</v>
      </c>
      <c r="D43" s="4">
        <v>0.35299999999999998</v>
      </c>
      <c r="F43">
        <v>60</v>
      </c>
      <c r="H43" s="4"/>
    </row>
    <row r="44" spans="1:8" x14ac:dyDescent="0.35">
      <c r="A44">
        <v>60</v>
      </c>
      <c r="B44" s="4">
        <f t="shared" si="0"/>
        <v>10.033999999999999</v>
      </c>
      <c r="C44" s="5">
        <v>9.6809999999999992</v>
      </c>
      <c r="D44" s="4">
        <v>0.35299999999999998</v>
      </c>
      <c r="F44">
        <v>61</v>
      </c>
      <c r="H44" s="4"/>
    </row>
    <row r="45" spans="1:8" x14ac:dyDescent="0.35">
      <c r="A45">
        <v>61</v>
      </c>
      <c r="B45" s="4">
        <f t="shared" si="0"/>
        <v>10.676</v>
      </c>
      <c r="C45" s="5">
        <v>10.323</v>
      </c>
      <c r="D45" s="4">
        <v>0.35299999999999998</v>
      </c>
      <c r="F45">
        <v>62</v>
      </c>
      <c r="H45" s="4"/>
    </row>
    <row r="46" spans="1:8" x14ac:dyDescent="0.35">
      <c r="A46">
        <v>62</v>
      </c>
      <c r="B46" s="4">
        <f t="shared" si="0"/>
        <v>11.362</v>
      </c>
      <c r="C46" s="5">
        <v>11.009</v>
      </c>
      <c r="D46" s="4">
        <v>0.35299999999999998</v>
      </c>
      <c r="F46">
        <v>63</v>
      </c>
      <c r="H46" s="4"/>
    </row>
    <row r="47" spans="1:8" x14ac:dyDescent="0.35">
      <c r="A47">
        <v>63</v>
      </c>
      <c r="B47" s="4">
        <f t="shared" si="0"/>
        <v>12.141</v>
      </c>
      <c r="C47" s="5">
        <v>11.788</v>
      </c>
      <c r="D47" s="4">
        <v>0.35299999999999998</v>
      </c>
      <c r="F47">
        <v>64</v>
      </c>
      <c r="H47" s="4"/>
    </row>
    <row r="48" spans="1:8" x14ac:dyDescent="0.35">
      <c r="A48">
        <v>64</v>
      </c>
      <c r="B48" s="4">
        <f t="shared" si="0"/>
        <v>13.026</v>
      </c>
      <c r="C48" s="5">
        <v>12.673</v>
      </c>
      <c r="D48" s="4">
        <v>0.35299999999999998</v>
      </c>
      <c r="F48">
        <v>65</v>
      </c>
      <c r="H48" s="4"/>
    </row>
    <row r="49" spans="1:8" x14ac:dyDescent="0.35">
      <c r="A49">
        <v>65</v>
      </c>
      <c r="B49" s="4">
        <f t="shared" si="0"/>
        <v>14.032</v>
      </c>
      <c r="C49" s="5">
        <v>13.679</v>
      </c>
      <c r="D49" s="4">
        <v>0.35299999999999998</v>
      </c>
      <c r="F49">
        <v>66</v>
      </c>
      <c r="H49" s="4"/>
    </row>
    <row r="50" spans="1:8" x14ac:dyDescent="0.35">
      <c r="A50">
        <v>66</v>
      </c>
      <c r="B50" s="4">
        <f t="shared" si="0"/>
        <v>15.177999999999999</v>
      </c>
      <c r="C50" s="5">
        <v>14.824999999999999</v>
      </c>
      <c r="D50" s="4">
        <v>0.35299999999999998</v>
      </c>
      <c r="F50">
        <v>67</v>
      </c>
      <c r="H50" s="4"/>
    </row>
    <row r="51" spans="1:8" x14ac:dyDescent="0.35">
      <c r="A51">
        <v>67</v>
      </c>
      <c r="B51" s="4">
        <f t="shared" si="0"/>
        <v>16.484000000000002</v>
      </c>
      <c r="C51" s="5">
        <v>16.131</v>
      </c>
      <c r="D51" s="4">
        <v>0.35299999999999998</v>
      </c>
      <c r="F51">
        <v>68</v>
      </c>
      <c r="H51" s="4"/>
    </row>
    <row r="52" spans="1:8" x14ac:dyDescent="0.35">
      <c r="A52">
        <v>68</v>
      </c>
      <c r="B52" s="4">
        <f t="shared" si="0"/>
        <v>17.977</v>
      </c>
      <c r="C52" s="5">
        <v>17.623999999999999</v>
      </c>
      <c r="D52" s="4">
        <v>0.35299999999999998</v>
      </c>
      <c r="F52">
        <v>69</v>
      </c>
      <c r="H52" s="4"/>
    </row>
    <row r="53" spans="1:8" x14ac:dyDescent="0.35">
      <c r="A53">
        <v>69</v>
      </c>
      <c r="B53" s="4">
        <f t="shared" si="0"/>
        <v>19.685000000000002</v>
      </c>
      <c r="C53" s="5">
        <v>19.332000000000001</v>
      </c>
      <c r="D53" s="4">
        <v>0.35299999999999998</v>
      </c>
      <c r="F53">
        <v>70</v>
      </c>
      <c r="H53" s="4"/>
    </row>
    <row r="54" spans="1:8" x14ac:dyDescent="0.35">
      <c r="A54">
        <v>70</v>
      </c>
      <c r="B54" s="4">
        <f t="shared" si="0"/>
        <v>21.643000000000001</v>
      </c>
      <c r="C54" s="5">
        <v>21.29</v>
      </c>
      <c r="D54" s="4">
        <v>0.35299999999999998</v>
      </c>
      <c r="F54">
        <v>71</v>
      </c>
      <c r="H54" s="4"/>
    </row>
    <row r="55" spans="1:8" x14ac:dyDescent="0.35">
      <c r="A55">
        <v>71</v>
      </c>
      <c r="B55" s="4">
        <f t="shared" si="0"/>
        <v>23.895000000000003</v>
      </c>
      <c r="C55" s="5">
        <v>23.542000000000002</v>
      </c>
      <c r="D55" s="4">
        <v>0.35299999999999998</v>
      </c>
      <c r="F55">
        <v>72</v>
      </c>
      <c r="H55" s="4"/>
    </row>
    <row r="56" spans="1:8" x14ac:dyDescent="0.35">
      <c r="A56">
        <v>72</v>
      </c>
      <c r="B56" s="4">
        <f t="shared" si="0"/>
        <v>26.490000000000002</v>
      </c>
      <c r="C56" s="5">
        <v>26.137</v>
      </c>
      <c r="D56" s="4">
        <v>0.35299999999999998</v>
      </c>
      <c r="F56">
        <v>73</v>
      </c>
      <c r="H56" s="4"/>
    </row>
    <row r="57" spans="1:8" x14ac:dyDescent="0.35">
      <c r="A57">
        <v>73</v>
      </c>
      <c r="B57" s="4">
        <f t="shared" si="0"/>
        <v>29.488000000000003</v>
      </c>
      <c r="C57" s="5">
        <v>29.135000000000002</v>
      </c>
      <c r="D57" s="4">
        <v>0.35299999999999998</v>
      </c>
      <c r="F57">
        <v>74</v>
      </c>
      <c r="H57" s="4"/>
    </row>
    <row r="58" spans="1:8" x14ac:dyDescent="0.35">
      <c r="A58">
        <v>74</v>
      </c>
      <c r="B58" s="4">
        <f t="shared" si="0"/>
        <v>32.960999999999999</v>
      </c>
      <c r="C58" s="5">
        <v>32.607999999999997</v>
      </c>
      <c r="D58" s="4">
        <v>0.35299999999999998</v>
      </c>
      <c r="F58">
        <v>75</v>
      </c>
      <c r="H58" s="4"/>
    </row>
    <row r="59" spans="1:8" x14ac:dyDescent="0.35">
      <c r="A59">
        <v>75</v>
      </c>
      <c r="B59" s="4">
        <f t="shared" si="0"/>
        <v>36.995000000000005</v>
      </c>
      <c r="C59" s="5">
        <v>36.642000000000003</v>
      </c>
      <c r="D59" s="4">
        <v>0.35299999999999998</v>
      </c>
      <c r="F59">
        <v>76</v>
      </c>
      <c r="H59" s="4"/>
    </row>
    <row r="60" spans="1:8" x14ac:dyDescent="0.35">
      <c r="A60">
        <v>76</v>
      </c>
      <c r="B60" s="4">
        <f t="shared" si="0"/>
        <v>58.71</v>
      </c>
      <c r="C60" s="5">
        <v>40.987000000000002</v>
      </c>
      <c r="D60" s="4">
        <v>17.722999999999999</v>
      </c>
      <c r="F60">
        <v>77</v>
      </c>
      <c r="H60" s="4"/>
    </row>
    <row r="61" spans="1:8" x14ac:dyDescent="0.35">
      <c r="A61">
        <v>77</v>
      </c>
      <c r="B61" s="4">
        <f t="shared" si="0"/>
        <v>45.975999999999999</v>
      </c>
      <c r="C61" s="5">
        <v>45.975999999999999</v>
      </c>
      <c r="F61">
        <v>78</v>
      </c>
      <c r="H61" s="4"/>
    </row>
    <row r="62" spans="1:8" x14ac:dyDescent="0.35">
      <c r="A62">
        <v>78</v>
      </c>
      <c r="B62" s="4">
        <f t="shared" si="0"/>
        <v>49.435000000000002</v>
      </c>
      <c r="C62" s="5">
        <v>49.435000000000002</v>
      </c>
      <c r="F62">
        <v>79</v>
      </c>
      <c r="H62" s="4"/>
    </row>
    <row r="63" spans="1:8" x14ac:dyDescent="0.35">
      <c r="A63">
        <v>79</v>
      </c>
      <c r="B63" s="4">
        <f t="shared" si="0"/>
        <v>53.152999999999999</v>
      </c>
      <c r="C63" s="5">
        <v>53.152999999999999</v>
      </c>
      <c r="F63">
        <v>80</v>
      </c>
      <c r="H63" s="4"/>
    </row>
    <row r="64" spans="1:8" x14ac:dyDescent="0.35">
      <c r="A64">
        <v>80</v>
      </c>
      <c r="B64" s="4">
        <f t="shared" si="0"/>
        <v>59.345999999999997</v>
      </c>
      <c r="C64" s="5">
        <v>59.345999999999997</v>
      </c>
      <c r="F64">
        <v>81</v>
      </c>
      <c r="H64" s="4"/>
    </row>
    <row r="65" spans="1:8" x14ac:dyDescent="0.35">
      <c r="A65">
        <v>81</v>
      </c>
      <c r="B65" s="4">
        <f t="shared" si="0"/>
        <v>67.41</v>
      </c>
      <c r="C65" s="5">
        <v>67.41</v>
      </c>
      <c r="F65">
        <v>82</v>
      </c>
      <c r="H65" s="4"/>
    </row>
    <row r="66" spans="1:8" x14ac:dyDescent="0.35">
      <c r="A66">
        <v>82</v>
      </c>
      <c r="B66" s="4">
        <f t="shared" si="0"/>
        <v>76.647000000000006</v>
      </c>
      <c r="C66" s="5">
        <v>76.647000000000006</v>
      </c>
      <c r="F66">
        <v>83</v>
      </c>
      <c r="H66" s="4"/>
    </row>
    <row r="67" spans="1:8" x14ac:dyDescent="0.35">
      <c r="A67">
        <v>83</v>
      </c>
      <c r="B67" s="4">
        <f t="shared" si="0"/>
        <v>87.236999999999995</v>
      </c>
      <c r="C67" s="5">
        <v>87.236999999999995</v>
      </c>
      <c r="F67">
        <v>84</v>
      </c>
      <c r="H67" s="4"/>
    </row>
    <row r="68" spans="1:8" x14ac:dyDescent="0.35">
      <c r="A68">
        <v>84</v>
      </c>
      <c r="B68" s="4">
        <f t="shared" si="0"/>
        <v>99.388000000000005</v>
      </c>
      <c r="C68" s="5">
        <v>99.388000000000005</v>
      </c>
      <c r="F68">
        <v>85</v>
      </c>
      <c r="H68" s="4"/>
    </row>
    <row r="69" spans="1:8" x14ac:dyDescent="0.35">
      <c r="A69">
        <v>85</v>
      </c>
      <c r="B69" s="4">
        <f t="shared" ref="B69:B83" si="1">+C69+D69</f>
        <v>113.34099999999999</v>
      </c>
      <c r="C69" s="5">
        <v>113.34099999999999</v>
      </c>
      <c r="F69">
        <v>86</v>
      </c>
      <c r="H69" s="4"/>
    </row>
    <row r="70" spans="1:8" x14ac:dyDescent="0.35">
      <c r="A70">
        <v>86</v>
      </c>
      <c r="B70" s="4">
        <f t="shared" si="1"/>
        <v>129.374</v>
      </c>
      <c r="C70" s="5">
        <v>129.374</v>
      </c>
      <c r="F70">
        <v>87</v>
      </c>
      <c r="H70" s="4"/>
    </row>
    <row r="71" spans="1:8" x14ac:dyDescent="0.35">
      <c r="A71">
        <v>87</v>
      </c>
      <c r="B71" s="4">
        <f t="shared" si="1"/>
        <v>147.80500000000001</v>
      </c>
      <c r="C71" s="5">
        <v>147.80500000000001</v>
      </c>
      <c r="F71">
        <v>88</v>
      </c>
      <c r="H71" s="4"/>
    </row>
    <row r="72" spans="1:8" x14ac:dyDescent="0.35">
      <c r="A72">
        <v>88</v>
      </c>
      <c r="B72" s="4">
        <f t="shared" si="1"/>
        <v>169.01</v>
      </c>
      <c r="C72" s="5">
        <v>169.01</v>
      </c>
      <c r="F72">
        <v>89</v>
      </c>
      <c r="H72" s="4"/>
    </row>
    <row r="73" spans="1:8" x14ac:dyDescent="0.35">
      <c r="A73">
        <v>89</v>
      </c>
      <c r="B73" s="4">
        <f t="shared" si="1"/>
        <v>193.417</v>
      </c>
      <c r="C73" s="5">
        <v>193.417</v>
      </c>
      <c r="F73">
        <v>90</v>
      </c>
      <c r="H73" s="4"/>
    </row>
    <row r="74" spans="1:8" x14ac:dyDescent="0.35">
      <c r="A74">
        <v>90</v>
      </c>
      <c r="B74" s="4">
        <f t="shared" si="1"/>
        <v>221.52199999999999</v>
      </c>
      <c r="C74" s="5">
        <v>221.52199999999999</v>
      </c>
      <c r="F74">
        <v>91</v>
      </c>
      <c r="H74" s="4"/>
    </row>
    <row r="75" spans="1:8" x14ac:dyDescent="0.35">
      <c r="A75">
        <v>91</v>
      </c>
      <c r="B75" s="4">
        <f t="shared" si="1"/>
        <v>253.9</v>
      </c>
      <c r="C75" s="5">
        <v>253.9</v>
      </c>
      <c r="F75">
        <v>92</v>
      </c>
      <c r="H75" s="4"/>
    </row>
    <row r="76" spans="1:8" x14ac:dyDescent="0.35">
      <c r="A76">
        <v>92</v>
      </c>
      <c r="B76" s="4">
        <f t="shared" si="1"/>
        <v>291.22000000000003</v>
      </c>
      <c r="C76" s="5">
        <v>291.22000000000003</v>
      </c>
      <c r="F76">
        <v>93</v>
      </c>
      <c r="H76" s="4"/>
    </row>
    <row r="77" spans="1:8" x14ac:dyDescent="0.35">
      <c r="A77">
        <v>93</v>
      </c>
      <c r="B77" s="4">
        <f t="shared" si="1"/>
        <v>334.27800000000002</v>
      </c>
      <c r="C77" s="5">
        <v>334.27800000000002</v>
      </c>
      <c r="F77">
        <v>94</v>
      </c>
      <c r="H77" s="4"/>
    </row>
    <row r="78" spans="1:8" x14ac:dyDescent="0.35">
      <c r="A78">
        <v>94</v>
      </c>
      <c r="B78" s="4">
        <f t="shared" si="1"/>
        <v>383.97500000000002</v>
      </c>
      <c r="C78" s="5">
        <v>383.97500000000002</v>
      </c>
      <c r="F78">
        <v>95</v>
      </c>
      <c r="H78" s="4"/>
    </row>
    <row r="79" spans="1:8" x14ac:dyDescent="0.35">
      <c r="A79">
        <v>95</v>
      </c>
      <c r="B79" s="4">
        <f t="shared" si="1"/>
        <v>441.50200000000001</v>
      </c>
      <c r="C79" s="5">
        <v>441.50200000000001</v>
      </c>
      <c r="F79">
        <v>96</v>
      </c>
      <c r="H79" s="4"/>
    </row>
    <row r="80" spans="1:8" x14ac:dyDescent="0.35">
      <c r="A80">
        <v>96</v>
      </c>
      <c r="B80" s="4">
        <f t="shared" si="1"/>
        <v>508.21699999999998</v>
      </c>
      <c r="C80" s="5">
        <v>508.21699999999998</v>
      </c>
      <c r="F80">
        <v>97</v>
      </c>
      <c r="H80" s="4"/>
    </row>
    <row r="81" spans="1:8" x14ac:dyDescent="0.35">
      <c r="A81">
        <v>97</v>
      </c>
      <c r="B81" s="4">
        <f t="shared" si="1"/>
        <v>586.29999999999995</v>
      </c>
      <c r="C81" s="5">
        <v>586.29999999999995</v>
      </c>
      <c r="F81">
        <v>98</v>
      </c>
      <c r="H81" s="4"/>
    </row>
    <row r="82" spans="1:8" x14ac:dyDescent="0.35">
      <c r="A82">
        <v>98</v>
      </c>
      <c r="B82" s="4">
        <f t="shared" si="1"/>
        <v>678.64200000000005</v>
      </c>
      <c r="C82" s="5">
        <v>678.64200000000005</v>
      </c>
      <c r="F82">
        <v>99</v>
      </c>
      <c r="H82" s="4"/>
    </row>
    <row r="83" spans="1:8" x14ac:dyDescent="0.35">
      <c r="A83">
        <v>99</v>
      </c>
      <c r="B83" s="4">
        <f t="shared" si="1"/>
        <v>793.38800000000003</v>
      </c>
      <c r="C83" s="5">
        <v>793.38800000000003</v>
      </c>
      <c r="F83">
        <v>100</v>
      </c>
      <c r="H8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05D185-2811-4827-AE9E-4863636AF8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8DF9B8-C17F-4C2B-8725-BEC7E690E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7E970CA-F311-40BB-A5FE-44E88AFFD20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PCP</vt:lpstr>
      <vt:lpstr>Hoja2</vt:lpstr>
    </vt:vector>
  </TitlesOfParts>
  <Company>Suramericana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Rincon Montoya</dc:creator>
  <cp:lastModifiedBy>Daniel Palacio Rave</cp:lastModifiedBy>
  <dcterms:created xsi:type="dcterms:W3CDTF">2016-08-30T18:49:18Z</dcterms:created>
  <dcterms:modified xsi:type="dcterms:W3CDTF">2026-02-10T19:00:46Z</dcterms:modified>
</cp:coreProperties>
</file>